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lan" sheetId="1" state="visible" r:id="rId1"/>
    <sheet name="Summary Dashboard" sheetId="2" state="visible" r:id="rId2"/>
  </sheets>
  <definedNames>
    <definedName name="_xlnm._FilterDatabase" localSheetId="0" hidden="1">'Project Plan'!$A$1:$J$4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&quot; days&quot;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1F4E79"/>
      <sz val="11"/>
    </font>
    <font>
      <name val="Arial"/>
      <b val="1"/>
      <sz val="10"/>
    </font>
    <font>
      <name val="Arial"/>
      <b val="1"/>
      <color rgb="001F4E79"/>
      <sz val="10"/>
    </font>
    <font>
      <name val="Arial"/>
      <sz val="10"/>
    </font>
    <font>
      <name val="Arial"/>
      <sz val="9"/>
    </font>
    <font>
      <name val="Arial"/>
      <b val="1"/>
      <color rgb="001F4E79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/>
    </xf>
    <xf numFmtId="165" fontId="2" fillId="0" borderId="1" applyAlignment="1" pivotButton="0" quotePrefix="0" xfId="0">
      <alignment horizontal="left" vertical="top"/>
    </xf>
    <xf numFmtId="0" fontId="3" fillId="2" borderId="0" applyAlignment="1" pivotButton="0" quotePrefix="0" xfId="0">
      <alignment horizontal="center" vertical="center"/>
    </xf>
    <xf numFmtId="0" fontId="4" fillId="0" borderId="2" pivotButton="0" quotePrefix="0" xfId="0"/>
    <xf numFmtId="0" fontId="5" fillId="0" borderId="1" pivotButton="0" quotePrefix="0" xfId="0"/>
    <xf numFmtId="1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0" fontId="7" fillId="0" borderId="1" pivotButton="0" quotePrefix="0" xfId="0"/>
    <xf numFmtId="1" fontId="5" fillId="0" borderId="1" applyAlignment="1" pivotButton="0" quotePrefix="0" xfId="0">
      <alignment horizontal="right"/>
    </xf>
    <xf numFmtId="0" fontId="8" fillId="0" borderId="1" pivotButton="0" quotePrefix="0" xfId="0"/>
    <xf numFmtId="0" fontId="8" fillId="0" borderId="1" applyAlignment="1" pivotButton="0" quotePrefix="0" xfId="0">
      <alignment horizontal="right"/>
    </xf>
    <xf numFmtId="166" fontId="9" fillId="0" borderId="1" applyAlignment="1" pivotButton="0" quotePrefix="0" xfId="0">
      <alignment horizontal="right"/>
    </xf>
  </cellXfs>
  <cellStyles count="1">
    <cellStyle name="Normal" xfId="0" builtinId="0" hidden="0"/>
  </cellStyles>
  <dxfs count="8">
    <dxf>
      <font>
        <name val="Arial"/>
        <b val="1"/>
        <color rgb="00375623"/>
        <sz val="10"/>
      </font>
      <fill>
        <patternFill patternType="solid">
          <fgColor rgb="00E2EFDA"/>
          <bgColor rgb="00E2EFDA"/>
        </patternFill>
      </fill>
    </dxf>
    <dxf>
      <font>
        <name val="Arial"/>
        <b val="1"/>
        <color rgb="001F4E79"/>
        <sz val="10"/>
      </font>
      <fill>
        <patternFill patternType="solid">
          <fgColor rgb="00DDEBF7"/>
          <bgColor rgb="00DDEBF7"/>
        </patternFill>
      </fill>
    </dxf>
    <dxf>
      <font>
        <name val="Arial"/>
        <b val="1"/>
        <color rgb="002F5597"/>
        <sz val="10"/>
      </font>
      <fill>
        <patternFill patternType="solid">
          <fgColor rgb="00E8F1F5"/>
          <bgColor rgb="00E8F1F5"/>
        </patternFill>
      </fill>
    </dxf>
    <dxf>
      <font>
        <name val="Arial"/>
        <b val="1"/>
        <color rgb="00C00000"/>
        <sz val="10"/>
      </font>
      <fill>
        <patternFill patternType="solid">
          <fgColor rgb="00FCE4D6"/>
          <bgColor rgb="00FCE4D6"/>
        </patternFill>
      </fill>
    </dxf>
    <dxf>
      <font>
        <name val="Arial"/>
        <b val="1"/>
        <color rgb="00595959"/>
        <sz val="10"/>
      </font>
      <fill>
        <patternFill patternType="solid">
          <fgColor rgb="00F2F2F2"/>
          <bgColor rgb="00F2F2F2"/>
        </patternFill>
      </fill>
    </dxf>
    <dxf>
      <font>
        <name val="Arial"/>
        <b val="1"/>
        <color rgb="007F6000"/>
        <sz val="10"/>
      </font>
      <fill>
        <patternFill patternType="solid">
          <fgColor rgb="00FFF2CC"/>
          <bgColor rgb="00FFF2CC"/>
        </patternFill>
      </fill>
    </dxf>
    <dxf>
      <font>
        <name val="Arial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Dashboard'!C9</f>
            </strRef>
          </tx>
          <spPr>
            <a:ln>
              <a:prstDash val="solid"/>
            </a:ln>
          </spPr>
          <cat>
            <numRef>
              <f>'Summary Dashboard'!$B$10:$B$16</f>
            </numRef>
          </cat>
          <val>
            <numRef>
              <f>'Summary Dashboard'!$C$10:$C$16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Module-wise Progress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Dashboard'!E19</f>
            </strRef>
          </tx>
          <spPr>
            <a:ln>
              <a:prstDash val="solid"/>
            </a:ln>
          </spPr>
          <cat>
            <numRef>
              <f>'Summary Dashboard'!$B$20:$B$21</f>
            </numRef>
          </cat>
          <val>
            <numRef>
              <f>'Summary Dashboard'!$E$20:$E$21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Progress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22" customWidth="1" min="4" max="4"/>
    <col width="65" customWidth="1" min="5" max="5"/>
    <col width="14" customWidth="1" min="6" max="6"/>
    <col width="14" customWidth="1" min="7" max="7"/>
    <col width="22" customWidth="1" min="8" max="8"/>
    <col width="20" customWidth="1" min="9" max="9"/>
    <col width="60" customWidth="1" min="10" max="10"/>
  </cols>
  <sheetData>
    <row r="1" ht="28" customHeight="1">
      <c r="A1" s="1" t="inlineStr">
        <is>
          <t>Model ID</t>
        </is>
      </c>
      <c r="B1" s="1" t="inlineStr">
        <is>
          <t>Module</t>
        </is>
      </c>
      <c r="C1" s="1" t="inlineStr">
        <is>
          <t>Model Name</t>
        </is>
      </c>
      <c r="D1" s="1" t="inlineStr">
        <is>
          <t>Sub Model</t>
        </is>
      </c>
      <c r="E1" s="1" t="inlineStr">
        <is>
          <t>Description</t>
        </is>
      </c>
      <c r="F1" s="1" t="inlineStr">
        <is>
          <t>Open Date</t>
        </is>
      </c>
      <c r="G1" s="1" t="inlineStr">
        <is>
          <t>Close Date</t>
        </is>
      </c>
      <c r="H1" s="1" t="inlineStr">
        <is>
          <t>Development Status</t>
        </is>
      </c>
      <c r="I1" s="1" t="inlineStr">
        <is>
          <t>Development Time</t>
        </is>
      </c>
      <c r="J1" s="1" t="inlineStr">
        <is>
          <t>Test Case ID</t>
        </is>
      </c>
    </row>
    <row r="2">
      <c r="A2" s="2" t="inlineStr">
        <is>
          <t>M1</t>
        </is>
      </c>
      <c r="B2" s="2" t="inlineStr">
        <is>
          <t>Login</t>
        </is>
      </c>
      <c r="C2" s="2" t="inlineStr">
        <is>
          <t>Authentication &amp; Authorization</t>
        </is>
      </c>
      <c r="D2" s="2" t="inlineStr">
        <is>
          <t>Authentication</t>
        </is>
      </c>
      <c r="E2" s="3" t="inlineStr">
        <is>
          <t>Implement secure Email/Mobile and Password login with validation, JWT authentication, error handling, password visibility toggle, and password strength indicator.</t>
        </is>
      </c>
      <c r="F2" s="4" t="n"/>
      <c r="G2" s="4" t="n"/>
      <c r="H2" s="2" t="inlineStr">
        <is>
          <t>Completed</t>
        </is>
      </c>
      <c r="I2" s="2" t="inlineStr">
        <is>
          <t>15 days</t>
        </is>
      </c>
      <c r="J2" s="3" t="inlineStr">
        <is>
          <t>TC-1.0-01: Initial UI Load;
TC-1.0-02: Validate empty email/mobile input;
TC-1.0-03: Validate mobile number format;
TC-1.0-04: Validate email format;
TC-1.0-05: Detect mobile input;
TC-1.0-06: Password visibility toggle;
TC-1.0-07: Password strength indicator;</t>
        </is>
      </c>
    </row>
    <row r="3">
      <c r="A3" s="2" t="inlineStr">
        <is>
          <t>M2</t>
        </is>
      </c>
      <c r="B3" s="2" t="inlineStr">
        <is>
          <t>OrgRolePage</t>
        </is>
      </c>
      <c r="C3" s="2" t="inlineStr">
        <is>
          <t>Authentication &amp; Authorization</t>
        </is>
      </c>
      <c r="D3" s="2" t="inlineStr">
        <is>
          <t>Role Selection</t>
        </is>
      </c>
      <c r="E3" s="3" t="inlineStr">
        <is>
          <t>Dynamically load workspaces from API, allow workspace selection, and display user role based on the selected workspace.</t>
        </is>
      </c>
      <c r="F3" s="4" t="n"/>
      <c r="G3" s="4" t="n"/>
      <c r="H3" s="2" t="inlineStr">
        <is>
          <t>Completed</t>
        </is>
      </c>
      <c r="I3" s="5">
        <f>IF(AND(F3&lt;&gt;"", G3&lt;&gt;""), G3-F3, "")</f>
        <v/>
      </c>
      <c r="J3" s="3" t="inlineStr">
        <is>
          <t>TC-1.1-01: Warehouse Dropdown Load;
TC-1.1-02: Warehouse Dropdown Select;
TC-1.1-03: Warehouse Filtering;
TC-1.1-04: Workspace Change;</t>
        </is>
      </c>
    </row>
    <row r="4">
      <c r="A4" s="2" t="inlineStr">
        <is>
          <t>M2</t>
        </is>
      </c>
      <c r="B4" s="2" t="inlineStr"/>
      <c r="C4" s="2" t="inlineStr">
        <is>
          <t>Authentication &amp; Authorization</t>
        </is>
      </c>
      <c r="D4" s="2" t="inlineStr">
        <is>
          <t>Role Metrics</t>
        </is>
      </c>
      <c r="E4" s="3" t="inlineStr">
        <is>
          <t>Dynamically filter and display operational metrics based on the selected workspace and role using dashboard Stat Cards.</t>
        </is>
      </c>
      <c r="F4" s="4" t="n"/>
      <c r="G4" s="4" t="n"/>
      <c r="H4" s="2" t="inlineStr">
        <is>
          <t>Completed</t>
        </is>
      </c>
      <c r="I4" s="5">
        <f>IF(AND(F4&lt;&gt;"", G4&lt;&gt;""), G4-F4, "")</f>
        <v/>
      </c>
      <c r="J4" s="3" t="inlineStr">
        <is>
          <t>TC-1.2-01: Role Dropdown Load;
TC-1.2-02: Role Filtering;
TC-1.2-03: Display selected role metrics;</t>
        </is>
      </c>
    </row>
  </sheetData>
  <autoFilter ref="A1:J4"/>
  <conditionalFormatting sqref="H2:H10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"Progress"</formula>
    </cfRule>
    <cfRule type="cellIs" priority="4" operator="equal" dxfId="3">
      <formula>"Blocked"</formula>
    </cfRule>
    <cfRule type="cellIs" priority="5" operator="equal" dxfId="4">
      <formula>"Not Started"</formula>
    </cfRule>
    <cfRule type="cellIs" priority="6" operator="equal" dxfId="5">
      <formula>"UAT"</formula>
    </cfRule>
    <cfRule type="cellIs" priority="7" operator="equal" dxfId="6">
      <formula>"Deployed"</formula>
    </cfRule>
  </conditionalFormatting>
  <conditionalFormatting sqref="A2:J100">
    <cfRule type="expression" priority="8" dxfId="7">
      <formula>AND($H2&lt;&gt;"Completed", $H2&lt;&gt;"Deployed", $F2&lt;&gt;"", TODAY()-$F2&gt;30)</formula>
    </cfRule>
  </conditionalFormatting>
  <dataValidations count="1">
    <dataValidation sqref="H2:H100" showDropDown="0" showInputMessage="0" showErrorMessage="0" allowBlank="1" errorTitle="Invalid Status" error="Your entry is not in the list of allowed statuses" promptTitle="Status" prompt="Select development status" type="list">
      <formula1>"Not Started,Progress,In Progress,Completed,Blocked,UAT,Deployed"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5" customWidth="1" min="4" max="4"/>
    <col width="15" customWidth="1" min="5" max="5"/>
    <col width="3" customWidth="1" min="6" max="6"/>
  </cols>
  <sheetData>
    <row r="2" ht="40" customHeight="1">
      <c r="B2" s="6" t="inlineStr">
        <is>
          <t>Project Development &amp; QA Dashboard</t>
        </is>
      </c>
    </row>
    <row r="4">
      <c r="B4" s="7" t="inlineStr">
        <is>
          <t>Key Metrics</t>
        </is>
      </c>
      <c r="C4" s="7" t="inlineStr">
        <is>
          <t>Value</t>
        </is>
      </c>
    </row>
    <row r="5">
      <c r="B5" s="8" t="inlineStr">
        <is>
          <t>Total Modules</t>
        </is>
      </c>
      <c r="C5" s="9">
        <f>SUMPRODUCT(('Project Plan'!A$2:A$100&lt;&gt;"")/COUNTIF('Project Plan'!A$2:A$100, 'Project Plan'!A$2:A$100&amp;""))</f>
        <v/>
      </c>
    </row>
    <row r="6">
      <c r="B6" s="8" t="inlineStr">
        <is>
          <t>Total Sub Models</t>
        </is>
      </c>
      <c r="C6" s="9">
        <f>COUNTIF('Project Plan'!D$2:D$100, "?*")</f>
        <v/>
      </c>
    </row>
    <row r="7">
      <c r="B7" s="8" t="inlineStr">
        <is>
          <t>Overall Completion %</t>
        </is>
      </c>
      <c r="C7" s="10">
        <f>(COUNTIF('Project Plan'!H$2:H$100, "Completed") + COUNTIF('Project Plan'!H$2:H$100, "Deployed"))/C6</f>
        <v/>
      </c>
    </row>
    <row r="9">
      <c r="B9" s="7" t="inlineStr">
        <is>
          <t>Status Breakdown</t>
        </is>
      </c>
      <c r="C9" s="7" t="inlineStr">
        <is>
          <t>Count</t>
        </is>
      </c>
    </row>
    <row r="10">
      <c r="B10" s="11" t="inlineStr">
        <is>
          <t>Not Started</t>
        </is>
      </c>
      <c r="C10" s="12">
        <f>COUNTIF('Project Plan'!H$2:H$100, "Not Started")</f>
        <v/>
      </c>
    </row>
    <row r="11">
      <c r="B11" s="11" t="inlineStr">
        <is>
          <t>Progress</t>
        </is>
      </c>
      <c r="C11" s="12">
        <f>COUNTIF('Project Plan'!H$2:H$100, "Progress")</f>
        <v/>
      </c>
    </row>
    <row r="12">
      <c r="B12" s="11" t="inlineStr">
        <is>
          <t>In Progress</t>
        </is>
      </c>
      <c r="C12" s="12">
        <f>COUNTIF('Project Plan'!H$2:H$100, "In Progress")</f>
        <v/>
      </c>
    </row>
    <row r="13">
      <c r="B13" s="11" t="inlineStr">
        <is>
          <t>Completed</t>
        </is>
      </c>
      <c r="C13" s="12">
        <f>COUNTIF('Project Plan'!H$2:H$100, "Completed")</f>
        <v/>
      </c>
    </row>
    <row r="14">
      <c r="B14" s="11" t="inlineStr">
        <is>
          <t>Blocked</t>
        </is>
      </c>
      <c r="C14" s="12">
        <f>COUNTIF('Project Plan'!H$2:H$100, "Blocked")</f>
        <v/>
      </c>
    </row>
    <row r="15">
      <c r="B15" s="11" t="inlineStr">
        <is>
          <t>UAT</t>
        </is>
      </c>
      <c r="C15" s="12">
        <f>COUNTIF('Project Plan'!H$2:H$100, "UAT")</f>
        <v/>
      </c>
    </row>
    <row r="16">
      <c r="B16" s="11" t="inlineStr">
        <is>
          <t>Deployed</t>
        </is>
      </c>
      <c r="C16" s="12">
        <f>COUNTIF('Project Plan'!H$2:H$100, "Deployed")</f>
        <v/>
      </c>
    </row>
    <row r="19">
      <c r="B19" s="7" t="inlineStr">
        <is>
          <t>Module</t>
        </is>
      </c>
      <c r="C19" s="7" t="inlineStr">
        <is>
          <t>Sub Models</t>
        </is>
      </c>
      <c r="D19" s="7" t="inlineStr">
        <is>
          <t>Completed</t>
        </is>
      </c>
      <c r="E19" s="7" t="inlineStr">
        <is>
          <t>Progress %</t>
        </is>
      </c>
    </row>
    <row r="20">
      <c r="B20" s="13" t="inlineStr">
        <is>
          <t>Login</t>
        </is>
      </c>
      <c r="C20" s="14">
        <f>COUNTIF('Project Plan'!A$2:A$100, "M1")</f>
        <v/>
      </c>
      <c r="D20" s="14">
        <f>COUNTIFS('Project Plan'!A$2:A$100, "M1", 'Project Plan'!H$2:H$100, "Completed") + COUNTIFS('Project Plan'!A$2:A$100, "M1", 'Project Plan'!H$2:H$100, "Deployed")</f>
        <v/>
      </c>
      <c r="E20" s="15">
        <f>IF(C20&gt;0, D20/C20, 0)</f>
        <v/>
      </c>
    </row>
    <row r="21">
      <c r="B21" s="13" t="inlineStr">
        <is>
          <t>OrgRolePage</t>
        </is>
      </c>
      <c r="C21" s="14">
        <f>COUNTIF('Project Plan'!A$2:A$100, "M2")</f>
        <v/>
      </c>
      <c r="D21" s="14">
        <f>COUNTIFS('Project Plan'!A$2:A$100, "M2", 'Project Plan'!H$2:H$100, "Completed") + COUNTIFS('Project Plan'!A$2:A$100, "M2", 'Project Plan'!H$2:H$100, "Deployed")</f>
        <v/>
      </c>
      <c r="E21" s="15">
        <f>IF(C21&gt;0, D21/C21, 0)</f>
        <v/>
      </c>
    </row>
  </sheetData>
  <mergeCells count="1">
    <mergeCell ref="B2:L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2026-06-16T06:29:40Z</dcterms:created>
  <dcterms:modified xsi:type="dcterms:W3CDTF">2026-06-16T06:29:40Z</dcterms:modified>
</cp:coreProperties>
</file>